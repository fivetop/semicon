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wsl.localhost\Ubuntu-22.04\home\woody\SoGang\2026-03\kv260_vivado_tutorial\Step00_Overview\evaluation\"/>
    </mc:Choice>
  </mc:AlternateContent>
  <xr:revisionPtr revIDLastSave="0" documentId="13_ncr:1_{3CE7B44E-E83B-4E34-941E-3B388D90AAE0}" xr6:coauthVersionLast="47" xr6:coauthVersionMax="47" xr10:uidLastSave="{00000000-0000-0000-0000-000000000000}"/>
  <bookViews>
    <workbookView xWindow="57480" yWindow="-120" windowWidth="57840" windowHeight="31920" xr2:uid="{00000000-000D-0000-FFFF-FFFF00000000}"/>
  </bookViews>
  <sheets>
    <sheet name="평가표" sheetId="1" r:id="rId1"/>
    <sheet name="퀴즈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" l="1"/>
  <c r="F6" i="1"/>
  <c r="F7" i="1"/>
  <c r="F8" i="1"/>
  <c r="F9" i="1"/>
  <c r="F10" i="1"/>
  <c r="G10" i="1" s="1"/>
  <c r="F11" i="1"/>
  <c r="F12" i="1"/>
  <c r="G12" i="1" s="1"/>
  <c r="F13" i="1"/>
  <c r="G13" i="1" s="1"/>
  <c r="F14" i="1"/>
  <c r="G14" i="1" s="1"/>
  <c r="F15" i="1"/>
  <c r="G15" i="1" s="1"/>
  <c r="F16" i="1"/>
  <c r="G16" i="1" s="1"/>
  <c r="F17" i="1"/>
  <c r="G17" i="1" s="1"/>
  <c r="F18" i="1"/>
  <c r="G18" i="1" s="1"/>
  <c r="F4" i="1"/>
  <c r="G4" i="1" s="1"/>
  <c r="G11" i="1"/>
  <c r="G9" i="1"/>
  <c r="G8" i="1"/>
  <c r="G7" i="1"/>
  <c r="G6" i="1"/>
  <c r="G5" i="1"/>
</calcChain>
</file>

<file path=xl/sharedStrings.xml><?xml version="1.0" encoding="utf-8"?>
<sst xmlns="http://schemas.openxmlformats.org/spreadsheetml/2006/main" count="114" uniqueCount="107">
  <si>
    <t>Step00 평가표 (3 days) - 가중치 적용</t>
  </si>
  <si>
    <t>학생명 / Student Name</t>
  </si>
  <si>
    <t>Day1 (33%)
0-100</t>
  </si>
  <si>
    <t>Day2 (33%)
0-100</t>
  </si>
  <si>
    <t>퀴즈 (20%)
0-100</t>
  </si>
  <si>
    <t>KV260설치 (14%)
0-100</t>
  </si>
  <si>
    <t>Day3 총계(34%)</t>
  </si>
  <si>
    <t>총점(100%)</t>
  </si>
  <si>
    <t>비고 / Notes</t>
  </si>
  <si>
    <t>학생 1 / Student 1</t>
  </si>
  <si>
    <t>학생 2 / Student 2</t>
  </si>
  <si>
    <t>학생 3 / Student 3</t>
  </si>
  <si>
    <t>학생 4 / Student 4</t>
  </si>
  <si>
    <t>학생 5 / Student 5</t>
  </si>
  <si>
    <t>학생 6 / Student 6</t>
  </si>
  <si>
    <t>학생 7 / Student 7</t>
  </si>
  <si>
    <t>학생 8 / Student 8</t>
  </si>
  <si>
    <t>학생 9 / Student 9</t>
  </si>
  <si>
    <t>학생 10 / Student 10</t>
  </si>
  <si>
    <t>학생 11 / Student 11</t>
  </si>
  <si>
    <t>학생 12 / Student 12</t>
  </si>
  <si>
    <t>학생 13 / Student 13</t>
  </si>
  <si>
    <t>학생 14 / Student 14</t>
  </si>
  <si>
    <t>학생 15 / Student 15</t>
  </si>
  <si>
    <t>세부 평가 기준 / Evaluation Criteria</t>
  </si>
  <si>
    <t>Day1: 개발 환경 구축 (33 points) - 입력값 × 0.33</t>
  </si>
  <si>
    <t>Day2: 기본 설정 및 도구 사용 (33 points) - 입력값 × 0.33</t>
  </si>
  <si>
    <t>Day3: 이론 + 실습 (34 points)</t>
  </si>
  <si>
    <t>- RTL 기본 이론 퀴즈 (20 points) / RTL basic theory quiz - 입력값 × 1</t>
  </si>
  <si>
    <t>- KV260 Ubuntu 설치 (14 points) / KV260 Ubuntu installation - 입력값 × 1</t>
  </si>
  <si>
    <t>평가 기준 (Scoring Criteria)</t>
  </si>
  <si>
    <t>실습 과제 (실제 개발 능력) - 70%</t>
  </si>
  <si>
    <t>이해도 테스트 (개념 파악) - 20%</t>
  </si>
  <si>
    <t>참여도 - 10%</t>
  </si>
  <si>
    <t>RTL 기본 이론 퀴즈 (10문제)</t>
  </si>
  <si>
    <t>No</t>
  </si>
  <si>
    <t>문제 / Question</t>
  </si>
  <si>
    <t>선택지 / Options</t>
  </si>
  <si>
    <t>답 / Answer</t>
  </si>
  <si>
    <t>설명 / Description</t>
  </si>
  <si>
    <t>문제 1</t>
  </si>
  <si>
    <t>RTL에서 Register의 의미는?</t>
  </si>
  <si>
    <t>(A) 메모리 장치  (B) 플립플롭/래치로 구성된 데이터 저장 요소  (C) 레지스터 파일  (D) CPU 레지스터</t>
  </si>
  <si>
    <t>B</t>
  </si>
  <si>
    <t>플립플롭/래치로 구성된 데이터 저장 요소</t>
  </si>
  <si>
    <t>문제 2</t>
  </si>
  <si>
    <t>Sequential Logic의 특징은?</t>
  </si>
  <si>
    <t>(A) 입력만으로 출력이 결정됨  (B) 클럭 신호가 필요 없음  (C) 출력이 이전 상태와 현재 입력에 의해 결정됨  (D) 지연 시간이 없음</t>
  </si>
  <si>
    <t>C</t>
  </si>
  <si>
    <t>출력이 이전 상태와 현재 입력에 의해 결정됨</t>
  </si>
  <si>
    <t>문제 3</t>
  </si>
  <si>
    <t>D 플립플롭에서 클럭의 rising edge 때 무엇이 발생하나요?</t>
  </si>
  <si>
    <t>(A) 출력 Q가 0이 됨  (B) 입력 D의 값이 Q로 전달됨  (C) 리셋이 발생함  (D) 출력이 반전됨</t>
  </si>
  <si>
    <t>입력 D의 값이 Q로 전달됨</t>
  </si>
  <si>
    <t>문제 4</t>
  </si>
  <si>
    <t>다음 중 비트 너비를 포함한 올바른 모듈 정의는?</t>
  </si>
  <si>
    <t>(A) module test (input a, output b);  (B) module test {input a, output b};  (C) module test (input [7:0] a, output b);  (D) module test (input a,b output b);</t>
  </si>
  <si>
    <t>input [7:0] a - 비트 너비를 포함한 올바른 문법</t>
  </si>
  <si>
    <t>문제 5</t>
  </si>
  <si>
    <t>always @(posedge clk 블록에서 항상 실행되는 작업은?</t>
  </si>
  <si>
    <t>(A) 클럭 상승 edge마다  (B) 클럭 하강 시마다  (C) 입력 신호 변경 시마다  (D) 리셋 시마다</t>
  </si>
  <si>
    <t>A</t>
  </si>
  <si>
    <t>클럭 상승 edge마다</t>
  </si>
  <si>
    <t>문제 6</t>
  </si>
  <si>
    <t>assign 문은 어떤 종류의 회로를 설명합니까?</t>
  </si>
  <si>
    <t>(A) Combinational Logic  (B) Sequential Logic  (C) Mixed Logic  (D) Memory</t>
  </si>
  <si>
    <t>Combinational Logic</t>
  </si>
  <si>
    <t>문제 7</t>
  </si>
  <si>
    <t>100MHz 클럭의 주기는?</t>
  </si>
  <si>
    <t>(A) 10ns  (B) 100ns  (C) 1ns  (D) 1ms</t>
  </si>
  <si>
    <t>10ns</t>
  </si>
  <si>
    <t>문제 8</t>
  </si>
  <si>
    <t>wire [7:0] data;에서 데이터 버스의 비트 수는?</t>
  </si>
  <si>
    <t>(A) 7개  (B) 8개  (C) 9개  (D) 16개</t>
  </si>
  <si>
    <t>8비트</t>
  </si>
  <si>
    <t>문제 9</t>
  </si>
  <si>
    <t>Verilog에서 parameter의 용도는?</t>
  </si>
  <si>
    <t>(A) 입출력 포트 정의  (B) 모듈 내부 상수값 설정  (C) 신호 타입 선언  (D) 파일 포함</t>
  </si>
  <si>
    <t>모듈 내부 상수값 설정</t>
  </si>
  <si>
    <t>문제 10</t>
  </si>
  <si>
    <t>모듈을 인스턴스화할 때 필요한 것은?</t>
  </si>
  <si>
    <t>(A) 새로운 모듈 이름  (B) 모듈 이름과 인스턴스 이름  (C) 포트 연결만  (D) 시뮬레이션 시간 설정</t>
  </si>
  <si>
    <t>모듈 이름과 인스턴스 이름</t>
  </si>
  <si>
    <t>답안지 / Answer Key</t>
  </si>
  <si>
    <t>1:B</t>
  </si>
  <si>
    <t>2:C</t>
  </si>
  <si>
    <t>3:B</t>
  </si>
  <si>
    <t>4:C</t>
  </si>
  <si>
    <t>5:A</t>
  </si>
  <si>
    <t>6:A</t>
  </si>
  <si>
    <t>7:A</t>
  </si>
  <si>
    <t>8:B</t>
  </si>
  <si>
    <t>9:B</t>
  </si>
  <si>
    <t>10:B</t>
  </si>
  <si>
    <t>- Synthesis/구현: Bitstream 생성 / Synthesis/Implementation (20%)</t>
    <phoneticPr fontId="4" type="noConversion"/>
  </si>
  <si>
    <t>- 코드 작성: Vivado에서 RTL 코딩 / Code writing (20%)</t>
    <phoneticPr fontId="4" type="noConversion"/>
  </si>
  <si>
    <t>- 시뮬레이션: xsim/GTKWave로 검증 / Simulation (15%)</t>
    <phoneticPr fontId="4" type="noConversion"/>
  </si>
  <si>
    <t>- 디버깅: 오류 수정 능력 / Debugging (15%)</t>
    <phoneticPr fontId="4" type="noConversion"/>
  </si>
  <si>
    <t>- WSL 설치 및 설정 / WSL installation and setup (33점 만점 / max 33)</t>
    <phoneticPr fontId="4" type="noConversion"/>
  </si>
  <si>
    <t>- Vivado 설치 / Vivado installation</t>
    <phoneticPr fontId="4" type="noConversion"/>
  </si>
  <si>
    <t>- Ubuntu VM 또는 KV260 연결 / Ubuntu VM or KV260 connection</t>
    <phoneticPr fontId="4" type="noConversion"/>
  </si>
  <si>
    <t>- Git 설정 및 저장소 클론 / Git setup and repository clone (33점 만점 / max 33)</t>
    <phoneticPr fontId="4" type="noConversion"/>
  </si>
  <si>
    <t>- SSH 키 기반 접속 / SSH passwordless login</t>
    <phoneticPr fontId="4" type="noConversion"/>
  </si>
  <si>
    <t>- Jupyter Notebook 실행 / Jupyter Notebook execution</t>
    <phoneticPr fontId="4" type="noConversion"/>
  </si>
  <si>
    <t>- 퀴즈: 이론 이해 확인 / Quiz (20%)</t>
    <phoneticPr fontId="4" type="noConversion"/>
  </si>
  <si>
    <t>- 출석: 매일 참여 여부 / Attendance (5%)</t>
    <phoneticPr fontId="4" type="noConversion"/>
  </si>
  <si>
    <t>- 질문/토론: 활발한 참여 / Active participation (5%)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</si>
</sst>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scheme val="minor"/>
    </font>
    <font>
      <b/>
      <sz val="14"/>
      <name val="맑은 고딕"/>
      <family val="3"/>
      <charset val="129"/>
    </font>
    <font>
      <b/>
      <sz val="12"/>
      <color rgb="FFFFFFFF"/>
      <name val="맑은 고딕"/>
      <family val="3"/>
      <charset val="129"/>
    </font>
    <font>
      <b/>
      <sz val="12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2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3" fillId="0" borderId="0" xfId="0" applyFont="1"/>
    <xf numFmtId="0" fontId="2" fillId="2" borderId="1" xfId="0" applyFont="1" applyFill="1" applyBorder="1"/>
    <xf numFmtId="0" fontId="1" fillId="0" borderId="0" xfId="0" applyFont="1" applyAlignment="1">
      <alignment horizontal="center"/>
    </xf>
    <xf numFmtId="0" fontId="0" fillId="0" borderId="0" xfId="0"/>
    <xf numFmtId="0" fontId="0" fillId="0" borderId="0" xfId="0" quotePrefix="1"/>
    <xf numFmtId="0" fontId="5" fillId="0" borderId="0" xfId="0" quotePrefix="1" applyFont="1"/>
    <xf numFmtId="0" fontId="6" fillId="0" borderId="0" xfId="0" applyFont="1"/>
    <xf numFmtId="0" fontId="0" fillId="3" borderId="1" xfId="0" applyFill="1" applyBorder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9"/>
  <sheetViews>
    <sheetView tabSelected="1" workbookViewId="0">
      <selection activeCell="O16" sqref="O16"/>
    </sheetView>
  </sheetViews>
  <sheetFormatPr defaultRowHeight="16.5" x14ac:dyDescent="0.3"/>
  <cols>
    <col min="1" max="1" width="28" customWidth="1"/>
    <col min="2" max="7" width="12" customWidth="1"/>
    <col min="8" max="8" width="25" customWidth="1"/>
  </cols>
  <sheetData>
    <row r="1" spans="1:12" ht="20.25" x14ac:dyDescent="0.35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3" spans="1:12" ht="51.75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</row>
    <row r="4" spans="1:12" x14ac:dyDescent="0.3">
      <c r="A4" s="2" t="s">
        <v>9</v>
      </c>
      <c r="B4" s="2"/>
      <c r="C4" s="2"/>
      <c r="D4" s="2"/>
      <c r="E4" s="2"/>
      <c r="F4" s="10">
        <f>D4*0.2+E4*0.14</f>
        <v>0</v>
      </c>
      <c r="G4" s="10">
        <f t="shared" ref="G4:G18" si="0">B4*0.33+C4*0.33+F4</f>
        <v>0</v>
      </c>
      <c r="H4" s="2"/>
    </row>
    <row r="5" spans="1:12" x14ac:dyDescent="0.3">
      <c r="A5" s="2" t="s">
        <v>10</v>
      </c>
      <c r="B5" s="2"/>
      <c r="C5" s="2"/>
      <c r="D5" s="2"/>
      <c r="E5" s="2"/>
      <c r="F5" s="10">
        <f t="shared" ref="F5:F18" si="1">D5*0.2+E5*0.14</f>
        <v>0</v>
      </c>
      <c r="G5" s="10">
        <f t="shared" si="0"/>
        <v>0</v>
      </c>
      <c r="H5" s="2"/>
    </row>
    <row r="6" spans="1:12" x14ac:dyDescent="0.3">
      <c r="A6" s="2" t="s">
        <v>11</v>
      </c>
      <c r="B6" s="2"/>
      <c r="C6" s="2"/>
      <c r="D6" s="2"/>
      <c r="E6" s="2"/>
      <c r="F6" s="10">
        <f t="shared" si="1"/>
        <v>0</v>
      </c>
      <c r="G6" s="10">
        <f t="shared" si="0"/>
        <v>0</v>
      </c>
      <c r="H6" s="2"/>
    </row>
    <row r="7" spans="1:12" x14ac:dyDescent="0.3">
      <c r="A7" s="2" t="s">
        <v>12</v>
      </c>
      <c r="B7" s="2"/>
      <c r="C7" s="2"/>
      <c r="D7" s="2"/>
      <c r="E7" s="2"/>
      <c r="F7" s="10">
        <f t="shared" si="1"/>
        <v>0</v>
      </c>
      <c r="G7" s="10">
        <f t="shared" si="0"/>
        <v>0</v>
      </c>
      <c r="H7" s="2"/>
    </row>
    <row r="8" spans="1:12" x14ac:dyDescent="0.3">
      <c r="A8" s="2" t="s">
        <v>13</v>
      </c>
      <c r="B8" s="2"/>
      <c r="C8" s="2"/>
      <c r="D8" s="2"/>
      <c r="E8" s="2"/>
      <c r="F8" s="10">
        <f t="shared" si="1"/>
        <v>0</v>
      </c>
      <c r="G8" s="10">
        <f t="shared" si="0"/>
        <v>0</v>
      </c>
      <c r="H8" s="2"/>
    </row>
    <row r="9" spans="1:12" x14ac:dyDescent="0.3">
      <c r="A9" s="2" t="s">
        <v>14</v>
      </c>
      <c r="B9" s="2"/>
      <c r="C9" s="2"/>
      <c r="D9" s="2"/>
      <c r="E9" s="2"/>
      <c r="F9" s="10">
        <f t="shared" si="1"/>
        <v>0</v>
      </c>
      <c r="G9" s="10">
        <f t="shared" si="0"/>
        <v>0</v>
      </c>
      <c r="H9" s="2"/>
    </row>
    <row r="10" spans="1:12" x14ac:dyDescent="0.3">
      <c r="A10" s="2" t="s">
        <v>15</v>
      </c>
      <c r="B10" s="2"/>
      <c r="C10" s="2"/>
      <c r="D10" s="2"/>
      <c r="E10" s="2"/>
      <c r="F10" s="10">
        <f t="shared" si="1"/>
        <v>0</v>
      </c>
      <c r="G10" s="10">
        <f t="shared" si="0"/>
        <v>0</v>
      </c>
      <c r="H10" s="2"/>
    </row>
    <row r="11" spans="1:12" x14ac:dyDescent="0.3">
      <c r="A11" s="2" t="s">
        <v>16</v>
      </c>
      <c r="B11" s="2"/>
      <c r="C11" s="2"/>
      <c r="D11" s="2"/>
      <c r="E11" s="2"/>
      <c r="F11" s="10">
        <f t="shared" si="1"/>
        <v>0</v>
      </c>
      <c r="G11" s="10">
        <f t="shared" si="0"/>
        <v>0</v>
      </c>
      <c r="H11" s="2"/>
    </row>
    <row r="12" spans="1:12" x14ac:dyDescent="0.3">
      <c r="A12" s="2" t="s">
        <v>17</v>
      </c>
      <c r="B12" s="2"/>
      <c r="C12" s="2"/>
      <c r="D12" s="2"/>
      <c r="E12" s="2"/>
      <c r="F12" s="10">
        <f t="shared" si="1"/>
        <v>0</v>
      </c>
      <c r="G12" s="10">
        <f t="shared" si="0"/>
        <v>0</v>
      </c>
      <c r="H12" s="2"/>
    </row>
    <row r="13" spans="1:12" x14ac:dyDescent="0.3">
      <c r="A13" s="2" t="s">
        <v>18</v>
      </c>
      <c r="B13" s="2"/>
      <c r="C13" s="2"/>
      <c r="D13" s="2"/>
      <c r="E13" s="2"/>
      <c r="F13" s="10">
        <f t="shared" si="1"/>
        <v>0</v>
      </c>
      <c r="G13" s="10">
        <f t="shared" si="0"/>
        <v>0</v>
      </c>
      <c r="H13" s="2"/>
    </row>
    <row r="14" spans="1:12" x14ac:dyDescent="0.3">
      <c r="A14" s="2" t="s">
        <v>19</v>
      </c>
      <c r="B14" s="2"/>
      <c r="C14" s="2"/>
      <c r="D14" s="2"/>
      <c r="E14" s="2"/>
      <c r="F14" s="10">
        <f t="shared" si="1"/>
        <v>0</v>
      </c>
      <c r="G14" s="10">
        <f t="shared" si="0"/>
        <v>0</v>
      </c>
      <c r="H14" s="2"/>
    </row>
    <row r="15" spans="1:12" x14ac:dyDescent="0.3">
      <c r="A15" s="2" t="s">
        <v>20</v>
      </c>
      <c r="B15" s="2"/>
      <c r="C15" s="2"/>
      <c r="D15" s="2"/>
      <c r="E15" s="2"/>
      <c r="F15" s="10">
        <f t="shared" si="1"/>
        <v>0</v>
      </c>
      <c r="G15" s="10">
        <f t="shared" si="0"/>
        <v>0</v>
      </c>
      <c r="H15" s="2"/>
    </row>
    <row r="16" spans="1:12" x14ac:dyDescent="0.3">
      <c r="A16" s="2" t="s">
        <v>21</v>
      </c>
      <c r="B16" s="2"/>
      <c r="C16" s="2"/>
      <c r="D16" s="2"/>
      <c r="E16" s="2"/>
      <c r="F16" s="10">
        <f t="shared" si="1"/>
        <v>0</v>
      </c>
      <c r="G16" s="10">
        <f t="shared" si="0"/>
        <v>0</v>
      </c>
      <c r="H16" s="2"/>
    </row>
    <row r="17" spans="1:8" x14ac:dyDescent="0.3">
      <c r="A17" s="2" t="s">
        <v>22</v>
      </c>
      <c r="B17" s="2"/>
      <c r="C17" s="2"/>
      <c r="D17" s="2"/>
      <c r="E17" s="2"/>
      <c r="F17" s="10">
        <f t="shared" si="1"/>
        <v>0</v>
      </c>
      <c r="G17" s="10">
        <f t="shared" si="0"/>
        <v>0</v>
      </c>
      <c r="H17" s="2"/>
    </row>
    <row r="18" spans="1:8" x14ac:dyDescent="0.3">
      <c r="A18" s="2" t="s">
        <v>23</v>
      </c>
      <c r="B18" s="2"/>
      <c r="C18" s="2"/>
      <c r="D18" s="2"/>
      <c r="E18" s="2"/>
      <c r="F18" s="10">
        <f t="shared" si="1"/>
        <v>0</v>
      </c>
      <c r="G18" s="10">
        <f t="shared" si="0"/>
        <v>0</v>
      </c>
      <c r="H18" s="2"/>
    </row>
    <row r="20" spans="1:8" ht="17.25" x14ac:dyDescent="0.3">
      <c r="A20" s="3" t="s">
        <v>24</v>
      </c>
    </row>
    <row r="22" spans="1:8" x14ac:dyDescent="0.3">
      <c r="A22" t="s">
        <v>25</v>
      </c>
    </row>
    <row r="23" spans="1:8" x14ac:dyDescent="0.3">
      <c r="A23" s="7" t="s">
        <v>98</v>
      </c>
    </row>
    <row r="24" spans="1:8" x14ac:dyDescent="0.3">
      <c r="A24" s="7" t="s">
        <v>99</v>
      </c>
    </row>
    <row r="25" spans="1:8" x14ac:dyDescent="0.3">
      <c r="A25" s="7" t="s">
        <v>100</v>
      </c>
    </row>
    <row r="27" spans="1:8" x14ac:dyDescent="0.3">
      <c r="A27" t="s">
        <v>26</v>
      </c>
    </row>
    <row r="28" spans="1:8" x14ac:dyDescent="0.3">
      <c r="A28" s="7" t="s">
        <v>101</v>
      </c>
    </row>
    <row r="29" spans="1:8" x14ac:dyDescent="0.3">
      <c r="A29" s="7" t="s">
        <v>102</v>
      </c>
    </row>
    <row r="30" spans="1:8" s="9" customFormat="1" ht="17.25" x14ac:dyDescent="0.3">
      <c r="A30" s="8" t="s">
        <v>103</v>
      </c>
    </row>
    <row r="32" spans="1:8" x14ac:dyDescent="0.3">
      <c r="A32" t="s">
        <v>27</v>
      </c>
    </row>
    <row r="33" spans="1:1" x14ac:dyDescent="0.3">
      <c r="A33" t="s">
        <v>28</v>
      </c>
    </row>
    <row r="34" spans="1:1" x14ac:dyDescent="0.3">
      <c r="A34" t="s">
        <v>29</v>
      </c>
    </row>
    <row r="36" spans="1:1" x14ac:dyDescent="0.3">
      <c r="A36" t="s">
        <v>30</v>
      </c>
    </row>
    <row r="38" spans="1:1" x14ac:dyDescent="0.3">
      <c r="A38" t="s">
        <v>31</v>
      </c>
    </row>
    <row r="39" spans="1:1" x14ac:dyDescent="0.3">
      <c r="A39" s="7" t="s">
        <v>95</v>
      </c>
    </row>
    <row r="40" spans="1:1" x14ac:dyDescent="0.3">
      <c r="A40" s="7" t="s">
        <v>96</v>
      </c>
    </row>
    <row r="41" spans="1:1" x14ac:dyDescent="0.3">
      <c r="A41" s="7" t="s">
        <v>94</v>
      </c>
    </row>
    <row r="42" spans="1:1" x14ac:dyDescent="0.3">
      <c r="A42" s="7" t="s">
        <v>97</v>
      </c>
    </row>
    <row r="44" spans="1:1" x14ac:dyDescent="0.3">
      <c r="A44" t="s">
        <v>32</v>
      </c>
    </row>
    <row r="45" spans="1:1" x14ac:dyDescent="0.3">
      <c r="A45" s="7" t="s">
        <v>104</v>
      </c>
    </row>
    <row r="47" spans="1:1" x14ac:dyDescent="0.3">
      <c r="A47" t="s">
        <v>33</v>
      </c>
    </row>
    <row r="48" spans="1:1" x14ac:dyDescent="0.3">
      <c r="A48" s="7" t="s">
        <v>105</v>
      </c>
    </row>
    <row r="49" spans="1:1" x14ac:dyDescent="0.3">
      <c r="A49" s="7" t="s">
        <v>106</v>
      </c>
    </row>
  </sheetData>
  <mergeCells count="1">
    <mergeCell ref="A1:L1"/>
  </mergeCells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8"/>
  <sheetViews>
    <sheetView workbookViewId="0"/>
  </sheetViews>
  <sheetFormatPr defaultRowHeight="16.5" x14ac:dyDescent="0.3"/>
  <cols>
    <col min="1" max="1" width="8" customWidth="1"/>
    <col min="2" max="2" width="40" customWidth="1"/>
    <col min="3" max="3" width="65" customWidth="1"/>
    <col min="4" max="4" width="10" customWidth="1"/>
    <col min="5" max="5" width="35" customWidth="1"/>
  </cols>
  <sheetData>
    <row r="1" spans="1:7" ht="20.25" x14ac:dyDescent="0.35">
      <c r="A1" s="5" t="s">
        <v>34</v>
      </c>
      <c r="B1" s="6"/>
      <c r="C1" s="6"/>
      <c r="D1" s="6"/>
      <c r="E1" s="6"/>
      <c r="F1" s="6"/>
      <c r="G1" s="6"/>
    </row>
    <row r="3" spans="1:7" ht="17.25" x14ac:dyDescent="0.3">
      <c r="A3" s="4" t="s">
        <v>35</v>
      </c>
      <c r="B3" s="4" t="s">
        <v>36</v>
      </c>
      <c r="C3" s="4" t="s">
        <v>37</v>
      </c>
      <c r="D3" s="4" t="s">
        <v>38</v>
      </c>
      <c r="E3" s="4" t="s">
        <v>39</v>
      </c>
    </row>
    <row r="4" spans="1:7" x14ac:dyDescent="0.3">
      <c r="A4" t="s">
        <v>40</v>
      </c>
      <c r="B4" t="s">
        <v>41</v>
      </c>
      <c r="C4" t="s">
        <v>42</v>
      </c>
      <c r="D4" t="s">
        <v>43</v>
      </c>
      <c r="E4" t="s">
        <v>44</v>
      </c>
    </row>
    <row r="5" spans="1:7" x14ac:dyDescent="0.3">
      <c r="A5" t="s">
        <v>45</v>
      </c>
      <c r="B5" t="s">
        <v>46</v>
      </c>
      <c r="C5" t="s">
        <v>47</v>
      </c>
      <c r="D5" t="s">
        <v>48</v>
      </c>
      <c r="E5" t="s">
        <v>49</v>
      </c>
    </row>
    <row r="6" spans="1:7" x14ac:dyDescent="0.3">
      <c r="A6" t="s">
        <v>50</v>
      </c>
      <c r="B6" t="s">
        <v>51</v>
      </c>
      <c r="C6" t="s">
        <v>52</v>
      </c>
      <c r="D6" t="s">
        <v>43</v>
      </c>
      <c r="E6" t="s">
        <v>53</v>
      </c>
    </row>
    <row r="7" spans="1:7" x14ac:dyDescent="0.3">
      <c r="A7" t="s">
        <v>54</v>
      </c>
      <c r="B7" t="s">
        <v>55</v>
      </c>
      <c r="C7" t="s">
        <v>56</v>
      </c>
      <c r="D7" t="s">
        <v>48</v>
      </c>
      <c r="E7" t="s">
        <v>57</v>
      </c>
    </row>
    <row r="8" spans="1:7" x14ac:dyDescent="0.3">
      <c r="A8" t="s">
        <v>58</v>
      </c>
      <c r="B8" t="s">
        <v>59</v>
      </c>
      <c r="C8" t="s">
        <v>60</v>
      </c>
      <c r="D8" t="s">
        <v>61</v>
      </c>
      <c r="E8" t="s">
        <v>62</v>
      </c>
    </row>
    <row r="9" spans="1:7" x14ac:dyDescent="0.3">
      <c r="A9" t="s">
        <v>63</v>
      </c>
      <c r="B9" t="s">
        <v>64</v>
      </c>
      <c r="C9" t="s">
        <v>65</v>
      </c>
      <c r="D9" t="s">
        <v>61</v>
      </c>
      <c r="E9" t="s">
        <v>66</v>
      </c>
    </row>
    <row r="10" spans="1:7" x14ac:dyDescent="0.3">
      <c r="A10" t="s">
        <v>67</v>
      </c>
      <c r="B10" t="s">
        <v>68</v>
      </c>
      <c r="C10" t="s">
        <v>69</v>
      </c>
      <c r="D10" t="s">
        <v>61</v>
      </c>
      <c r="E10" t="s">
        <v>70</v>
      </c>
    </row>
    <row r="11" spans="1:7" x14ac:dyDescent="0.3">
      <c r="A11" t="s">
        <v>71</v>
      </c>
      <c r="B11" t="s">
        <v>72</v>
      </c>
      <c r="C11" t="s">
        <v>73</v>
      </c>
      <c r="D11" t="s">
        <v>43</v>
      </c>
      <c r="E11" t="s">
        <v>74</v>
      </c>
    </row>
    <row r="12" spans="1:7" x14ac:dyDescent="0.3">
      <c r="A12" t="s">
        <v>75</v>
      </c>
      <c r="B12" t="s">
        <v>76</v>
      </c>
      <c r="C12" t="s">
        <v>77</v>
      </c>
      <c r="D12" t="s">
        <v>43</v>
      </c>
      <c r="E12" t="s">
        <v>78</v>
      </c>
    </row>
    <row r="13" spans="1:7" x14ac:dyDescent="0.3">
      <c r="A13" t="s">
        <v>79</v>
      </c>
      <c r="B13" t="s">
        <v>80</v>
      </c>
      <c r="C13" t="s">
        <v>81</v>
      </c>
      <c r="D13" t="s">
        <v>43</v>
      </c>
      <c r="E13" t="s">
        <v>82</v>
      </c>
    </row>
    <row r="16" spans="1:7" x14ac:dyDescent="0.3">
      <c r="A16" t="s">
        <v>83</v>
      </c>
    </row>
    <row r="17" spans="1:5" x14ac:dyDescent="0.3">
      <c r="A17" t="s">
        <v>84</v>
      </c>
      <c r="B17" t="s">
        <v>85</v>
      </c>
      <c r="C17" t="s">
        <v>86</v>
      </c>
      <c r="D17" t="s">
        <v>87</v>
      </c>
      <c r="E17" t="s">
        <v>88</v>
      </c>
    </row>
    <row r="18" spans="1:5" x14ac:dyDescent="0.3">
      <c r="A18" t="s">
        <v>89</v>
      </c>
      <c r="B18" t="s">
        <v>90</v>
      </c>
      <c r="C18" t="s">
        <v>91</v>
      </c>
      <c r="D18" t="s">
        <v>92</v>
      </c>
      <c r="E18" t="s">
        <v>93</v>
      </c>
    </row>
  </sheetData>
  <mergeCells count="1">
    <mergeCell ref="A1:G1"/>
  </mergeCells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평가표</vt:lpstr>
      <vt:lpstr>퀴즈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JAEUK NAM</cp:lastModifiedBy>
  <dcterms:created xsi:type="dcterms:W3CDTF">2026-03-24T01:37:22Z</dcterms:created>
  <dcterms:modified xsi:type="dcterms:W3CDTF">2026-03-24T01:45:20Z</dcterms:modified>
</cp:coreProperties>
</file>